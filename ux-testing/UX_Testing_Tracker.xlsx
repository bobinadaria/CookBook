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Участники" sheetId="1" state="visible" r:id="rId3"/>
    <sheet name="Находки" sheetId="2" state="visible" r:id="rId4"/>
    <sheet name="Сводка" sheetId="3" state="visible" r:id="rId5"/>
    <sheet name="Go-NoG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<sst xmlns="http://schemas.openxmlformats.org/spreadsheetml/2006/main" count="409" uniqueCount="240">
  <si>
    <t xml:space="preserve">Участники теста</t>
  </si>
  <si>
    <t xml:space="preserve">По строке на человека. Заполняй сразу после сессии.</t>
  </si>
  <si>
    <t xml:space="preserve">ID</t>
  </si>
  <si>
    <t xml:space="preserve">Имя</t>
  </si>
  <si>
    <t xml:space="preserve">Дата</t>
  </si>
  <si>
    <t xml:space="preserve">Устройство</t>
  </si>
  <si>
    <t xml:space="preserve">Близок к теме еды?</t>
  </si>
  <si>
    <t xml:space="preserve">Дошёл до КБЖУ-вау?</t>
  </si>
  <si>
    <t xml:space="preserve">Вернулся бы / посоветовал?</t>
  </si>
  <si>
    <t xml:space="preserve">Общее впечатление (1 фраза)</t>
  </si>
  <si>
    <t xml:space="preserve">P1</t>
  </si>
  <si>
    <t xml:space="preserve">Дарья П.</t>
  </si>
  <si>
    <t xml:space="preserve">2026-06-18</t>
  </si>
  <si>
    <t xml:space="preserve">Десктоп (email-подтверждение — телефон)</t>
  </si>
  <si>
    <t xml:space="preserve">Да — часто готовит (том-ям), хранит рецепты у Алёны/в Google Drive/фото/ChatGPT</t>
  </si>
  <si>
    <t xml:space="preserve">Дошла, но без «вау»: КБЖУ посчиталось, восторг был на фото и рецептах автора, не на цифрах</t>
  </si>
  <si>
    <t xml:space="preserve">Да — «ради этих рецептов сюда зашла бы... быстро стал бы моим»; готова рекламировать</t>
  </si>
  <si>
    <t xml:space="preserve">«Один источник правды для тех, кто любит готовить и собирает рецепты — найти всё в красивом виде»</t>
  </si>
  <si>
    <t xml:space="preserve">P2</t>
  </si>
  <si>
    <t xml:space="preserve">P3</t>
  </si>
  <si>
    <t xml:space="preserve">P4</t>
  </si>
  <si>
    <t xml:space="preserve">P5</t>
  </si>
  <si>
    <t xml:space="preserve">Лог находок</t>
  </si>
  <si>
    <t xml:space="preserve">Сердце аналитики: по строке на каждую проблему/наблюдение. Одна проблема у нескольких людей = приоритет.</t>
  </si>
  <si>
    <t xml:space="preserve">Участник</t>
  </si>
  <si>
    <t xml:space="preserve">Экран / зона</t>
  </si>
  <si>
    <t xml:space="preserve">Задача №</t>
  </si>
  <si>
    <t xml:space="preserve">Что произошло (наблюдение)</t>
  </si>
  <si>
    <t xml:space="preserve">Тяжесть (1-4)</t>
  </si>
  <si>
    <t xml:space="preserve">Вопрос (В1-В4)</t>
  </si>
  <si>
    <t xml:space="preserve">Дословная цитата</t>
  </si>
  <si>
    <t xml:space="preserve">Тайм-код (мин:сек)</t>
  </si>
  <si>
    <t xml:space="preserve">Статус фикса</t>
  </si>
  <si>
    <t xml:space="preserve">напр.</t>
  </si>
  <si>
    <t xml:space="preserve">Главная</t>
  </si>
  <si>
    <t xml:space="preserve">1</t>
  </si>
  <si>
    <t xml:space="preserve">Скроллил вверх-вниз, не понял, что это про КБЖУ</t>
  </si>
  <si>
    <t xml:space="preserve">В1</t>
  </si>
  <si>
    <t xml:space="preserve">«Это что, блог про еду?»</t>
  </si>
  <si>
    <t xml:space="preserve">02:14</t>
  </si>
  <si>
    <t xml:space="preserve">Чиним</t>
  </si>
  <si>
    <t xml:space="preserve">F1</t>
  </si>
  <si>
    <t xml:space="preserve">Перв.впеч.</t>
  </si>
  <si>
    <t xml:space="preserve">Не поняла, готовая это книга или конструктор своей — основная неоднозначность модели продукта</t>
  </si>
  <si>
    <t xml:space="preserve">«Пока мне непонятно, это уже готовая книга или ты создаёшь её под себя»</t>
  </si>
  <si>
    <t xml:space="preserve">13:16</t>
  </si>
  <si>
    <t xml:space="preserve">Чинить</t>
  </si>
  <si>
    <t xml:space="preserve">F2</t>
  </si>
  <si>
    <t xml:space="preserve">«Открыть номер» непонятно (журнальная метафора «номера»); по клику кидает на все рецепты — неожиданно</t>
  </si>
  <si>
    <t xml:space="preserve">«Открыть номер... непонятно, что это за номер» / «Внезапно»</t>
  </si>
  <si>
    <t xml:space="preserve">51:05</t>
  </si>
  <si>
    <t xml:space="preserve">F3</t>
  </si>
  <si>
    <t xml:space="preserve">«Кухня в цифрах»: число не считывается, неясно что показывает</t>
  </si>
  <si>
    <t xml:space="preserve">«10,5. Что это за цифра? Что она мне показывает?»</t>
  </si>
  <si>
    <t xml:space="preserve">15:01</t>
  </si>
  <si>
    <t xml:space="preserve">Мелочь</t>
  </si>
  <si>
    <t xml:space="preserve">F4</t>
  </si>
  <si>
    <t xml:space="preserve">Выход</t>
  </si>
  <si>
    <t xml:space="preserve">Главная НЕ доносит core value; много некликабельного декоративного текста перетягивает внимание и зовёт кликнуть</t>
  </si>
  <si>
    <t xml:space="preserve">«очень много текста для дизайна и некликабельного... главная ценность здесь не цепляет взгляд»</t>
  </si>
  <si>
    <t xml:space="preserve">01:06:52</t>
  </si>
  <si>
    <t xml:space="preserve">F5</t>
  </si>
  <si>
    <t xml:space="preserve">Блок «Как это работает» не объясняет функциональность словами — просит описать суть продукта, а не процесс</t>
  </si>
  <si>
    <t xml:space="preserve">«добавить буквами... саму функциональность, не процесс... сбор рецептов в одном месте»</t>
  </si>
  <si>
    <t xml:space="preserve">51:46</t>
  </si>
  <si>
    <t xml:space="preserve">F6</t>
  </si>
  <si>
    <t xml:space="preserve">Декоративный элемент p.0 в левом верхнем углу непонятен</t>
  </si>
  <si>
    <t xml:space="preserve">«А что вот это значит?» → «это p.0, визуальный элемент, не играет роли»</t>
  </si>
  <si>
    <t xml:space="preserve">01:11:05</t>
  </si>
  <si>
    <t xml:space="preserve">F7</t>
  </si>
  <si>
    <t xml:space="preserve">Регистрация</t>
  </si>
  <si>
    <t xml:space="preserve">2b</t>
  </si>
  <si>
    <t xml:space="preserve">Подтверждение email открылось на телефоне; на десктопе сессия не обновилась автоматически, пришлось перезаходить вручную (десктоп)</t>
  </si>
  <si>
    <t xml:space="preserve">В3</t>
  </si>
  <si>
    <t xml:space="preserve">«нету синхронизации с телефоном... автоматически не обновляется, но я могу снова зайти»</t>
  </si>
  <si>
    <t xml:space="preserve">18:13</t>
  </si>
  <si>
    <t xml:space="preserve">F8</t>
  </si>
  <si>
    <t xml:space="preserve">После входа не показано, что это её аккаунт (нет имени/индикатора), только кнопка «выйти»</t>
  </si>
  <si>
    <t xml:space="preserve">«вижу, что выйти есть, но что это мой аккаунт — этого нету»</t>
  </si>
  <si>
    <t xml:space="preserve">19:40</t>
  </si>
  <si>
    <t xml:space="preserve">F9</t>
  </si>
  <si>
    <t xml:space="preserve">Моя книга</t>
  </si>
  <si>
    <t xml:space="preserve">Настройки аккаунта не находятся интуитивно</t>
  </si>
  <si>
    <t xml:space="preserve">«если хочу зайти в настройки аккаунта — их нету... пока это не интуитивно»</t>
  </si>
  <si>
    <t xml:space="preserve">20:03</t>
  </si>
  <si>
    <t xml:space="preserve">F10</t>
  </si>
  <si>
    <t xml:space="preserve">Избранное спрятано под «Моей книгой»; ждёт быстрый доступ из аккаунта/шапки как на других сайтах</t>
  </si>
  <si>
    <t xml:space="preserve">«то, что они находятся в моей книге и под моей книгой — это не интуитивно»</t>
  </si>
  <si>
    <t xml:space="preserve">27:14</t>
  </si>
  <si>
    <t xml:space="preserve">F11</t>
  </si>
  <si>
    <t xml:space="preserve">Страница рецепта</t>
  </si>
  <si>
    <t xml:space="preserve">Единица «дл/децилитр» сбивает — просит миллилитры</t>
  </si>
  <si>
    <t xml:space="preserve">В2</t>
  </si>
  <si>
    <t xml:space="preserve">«децилитр... для обычных людей пиши в миллилитрах, проще»</t>
  </si>
  <si>
    <t xml:space="preserve">22:56</t>
  </si>
  <si>
    <t xml:space="preserve">F12</t>
  </si>
  <si>
    <t xml:space="preserve">Хочет подсказку по заменам/количествам ингредиентов (нет шалота — взять лук, но сколько?)</t>
  </si>
  <si>
    <t xml:space="preserve">«можно ли что-то заменить?... но сколько правильно? Возможно, пошла бы искать другой рецепт»</t>
  </si>
  <si>
    <t xml:space="preserve">24:56</t>
  </si>
  <si>
    <t xml:space="preserve">Идея</t>
  </si>
  <si>
    <t xml:space="preserve">F13</t>
  </si>
  <si>
    <t xml:space="preserve">Иконка «в избранное» слишком маленькая</t>
  </si>
  <si>
    <t xml:space="preserve">«маленькая иконочка, побольше бы её сделать»</t>
  </si>
  <si>
    <t xml:space="preserve">26:01</t>
  </si>
  <si>
    <t xml:space="preserve">F14</t>
  </si>
  <si>
    <t xml:space="preserve">2</t>
  </si>
  <si>
    <t xml:space="preserve">Избранное не подтягивается сразу/не очевидно; путает «избранное» с «добавить в свою книгу»</t>
  </si>
  <si>
    <t xml:space="preserve">«я нажала сердечко... оно не подтянулось... не сразу»</t>
  </si>
  <si>
    <t xml:space="preserve">44:56</t>
  </si>
  <si>
    <t xml:space="preserve">F15</t>
  </si>
  <si>
    <t xml:space="preserve">Декоративный заголовок «личная книга» приглашает кликнуть, но некликабелен</t>
  </si>
  <si>
    <t xml:space="preserve">«мне захотелось вот сюда натыкнуть» → «это для красоты»</t>
  </si>
  <si>
    <t xml:space="preserve">26:45</t>
  </si>
  <si>
    <t xml:space="preserve">F16</t>
  </si>
  <si>
    <t xml:space="preserve">Импорт по ссылке падает молча, без объяснения/уведомления (1-я ссылка не сработала, 2-я — ок)</t>
  </si>
  <si>
    <t xml:space="preserve">«не все загружаются... нужно добавить нотификацию... либо попробуйте снова»</t>
  </si>
  <si>
    <t xml:space="preserve">28:11</t>
  </si>
  <si>
    <t xml:space="preserve">F17</t>
  </si>
  <si>
    <t xml:space="preserve">Парсер пропустил ингредиент «1 литр куриного бульона» — не выделил/не увидел</t>
  </si>
  <si>
    <t xml:space="preserve">«он пропустил бульон... вообще не увидел... загружает не всегда корректно»</t>
  </si>
  <si>
    <t xml:space="preserve">31:50</t>
  </si>
  <si>
    <t xml:space="preserve">F18</t>
  </si>
  <si>
    <t xml:space="preserve">БЛОКЕР: замена ингредиента («выбрать другой») не работает — нельзя ввести свой вариант, странные авто-замены (курица→«курица крыло»), нет ручного ввода. Подтверждено как самый критичный баг</t>
  </si>
  <si>
    <t xml:space="preserve">«эта функция сейчас не работает... я не могу предложить другой вариант» / «самый критичный сейчас»</t>
  </si>
  <si>
    <t xml:space="preserve">33:12</t>
  </si>
  <si>
    <t xml:space="preserve">F19</t>
  </si>
  <si>
    <t xml:space="preserve">Спиннеры зависают при разрешении/расчёте ненайденных ингредиентов</t>
  </si>
  <si>
    <t xml:space="preserve">«он посчитал, а здесь всё зависло» / «вот это зависло»</t>
  </si>
  <si>
    <t xml:space="preserve">36:08</t>
  </si>
  <si>
    <t xml:space="preserve">F20</t>
  </si>
  <si>
    <t xml:space="preserve">Лейбл «выбрать вручную» неоднозначен (звучит как «введи число сама»); просьба о ручном вводе КБЖУ — Дарья идею одобрила</t>
  </si>
  <si>
    <t xml:space="preserve">«выбрать вручную звучит так, что я сама должна ввести... идея с забивкой ручной очень нравится»</t>
  </si>
  <si>
    <t xml:space="preserve">36:33</t>
  </si>
  <si>
    <t xml:space="preserve">F21</t>
  </si>
  <si>
    <t xml:space="preserve">Сохранение блокируется из-за неразрешённых запросов ингредиентов/дубля (бульон дважды), отбрасывает наверх без ясного объяснения</t>
  </si>
  <si>
    <t xml:space="preserve">«Опа. Почему?... он тебя опять на запросы скинул»</t>
  </si>
  <si>
    <t xml:space="preserve">42:12</t>
  </si>
  <si>
    <t xml:space="preserve">F22</t>
  </si>
  <si>
    <t xml:space="preserve">Шаги из импорта разбиты дробнее, чем надо (1 шаг → несколько)</t>
  </si>
  <si>
    <t xml:space="preserve">«это должен был быть один шаг... они здесь разбили побольше»</t>
  </si>
  <si>
    <t xml:space="preserve">38:39</t>
  </si>
  <si>
    <t xml:space="preserve">F23</t>
  </si>
  <si>
    <t xml:space="preserve">Номера шагов в заголовке (ручной текст) не перенумеровываются при удалении шага</t>
  </si>
  <si>
    <t xml:space="preserve">«удалила шаг, а нумерация не поменялась... это не big deal»</t>
  </si>
  <si>
    <t xml:space="preserve">39:45</t>
  </si>
  <si>
    <t xml:space="preserve">F24</t>
  </si>
  <si>
    <t xml:space="preserve">Каталог/фильтры</t>
  </si>
  <si>
    <t xml:space="preserve">Поиск не находит при склонениях/длинных словах — похоже на лимит по числу символов («котлеты», «вафлю»)</t>
  </si>
  <si>
    <t xml:space="preserve">«как будто ограничение по количеству букв... это надо поправить»</t>
  </si>
  <si>
    <t xml:space="preserve">46:02</t>
  </si>
  <si>
    <t xml:space="preserve">F25</t>
  </si>
  <si>
    <t xml:space="preserve">Десерты/торты не найти фильтром-ингредиентом; ждёт искать через тип блюда</t>
  </si>
  <si>
    <t xml:space="preserve">«по ингредиентам не найду тортики... не буду убирать ингредиент чтобы найти десерт»</t>
  </si>
  <si>
    <t xml:space="preserve">50:20</t>
  </si>
  <si>
    <t xml:space="preserve">F26</t>
  </si>
  <si>
    <t xml:space="preserve">Тарифы</t>
  </si>
  <si>
    <t xml:space="preserve">4</t>
  </si>
  <si>
    <t xml:space="preserve">«10 кредитов AI» — жаргон, не для всех понятно</t>
  </si>
  <si>
    <t xml:space="preserve">«кредитов AI... нужно проще: добавление своих рецептов с помощью AI»</t>
  </si>
  <si>
    <t xml:space="preserve">53:42</t>
  </si>
  <si>
    <t xml:space="preserve">F27</t>
  </si>
  <si>
    <t xml:space="preserve">Копирайт «снимают потолки и добавляют магию» неясен</t>
  </si>
  <si>
    <t xml:space="preserve">«эта фраза не очень... снимают потолки... должно быть понятнее»</t>
  </si>
  <si>
    <t xml:space="preserve">54:18</t>
  </si>
  <si>
    <t xml:space="preserve">F28</t>
  </si>
  <si>
    <t xml:space="preserve">«За кредиты» читается так, будто надо ещё доплачивать (так и есть) — нужно явно «платно»</t>
  </si>
  <si>
    <t xml:space="preserve">«ощущение, что за кредиты нужно ещё платить... пиши платно, за кредиты непонятно»</t>
  </si>
  <si>
    <t xml:space="preserve">57:39</t>
  </si>
  <si>
    <t xml:space="preserve">F29</t>
  </si>
  <si>
    <t xml:space="preserve">Кнопки «Ваш тариф» выглядят как кнопки, но некликабельны (лендинг)</t>
  </si>
  <si>
    <t xml:space="preserve">«почему они не кликабельные?... выглядит как кнопка, но это просто ваш тариф»</t>
  </si>
  <si>
    <t xml:space="preserve">56:18</t>
  </si>
  <si>
    <t xml:space="preserve">F30</t>
  </si>
  <si>
    <t xml:space="preserve">Непоследовательные/отсутствующие названия тарифов — «фри» vs «гость»</t>
  </si>
  <si>
    <t xml:space="preserve">«что значит из фри? у тебя нету названия тарифов... ошибка в стрингах»</t>
  </si>
  <si>
    <t xml:space="preserve">57:08</t>
  </si>
  <si>
    <t xml:space="preserve">F31</t>
  </si>
  <si>
    <t xml:space="preserve">Сравнение планов — точки вместо галочек, мелко</t>
  </si>
  <si>
    <t xml:space="preserve">«галочкам люди больше привыкли... побольше бы»</t>
  </si>
  <si>
    <t xml:space="preserve">01:00:44</t>
  </si>
  <si>
    <t xml:space="preserve">F32</t>
  </si>
  <si>
    <t xml:space="preserve">На странице протёк текст из промпта генерации картинок («топдаун»)</t>
  </si>
  <si>
    <t xml:space="preserve">«почему смещает слово топдаун?... это из промта по генерированию картинок»</t>
  </si>
  <si>
    <t xml:space="preserve">01:02:02</t>
  </si>
  <si>
    <t xml:space="preserve">F33</t>
  </si>
  <si>
    <t xml:space="preserve">Валюта/регион — несоответствие EU vs UK/US в текстах</t>
  </si>
  <si>
    <t xml:space="preserve">«Евросоюз, ЕУ. Если пишешь UK, US — должна быть ЕУ»</t>
  </si>
  <si>
    <t xml:space="preserve">01:03:13</t>
  </si>
  <si>
    <t xml:space="preserve">F34</t>
  </si>
  <si>
    <t xml:space="preserve">ДО ЗАПУСКА: CTA на тарифах ведут на регистрацию/аккаунт, оплата не подключена — отключить кликабельность</t>
  </si>
  <si>
    <t xml:space="preserve">«создать аккаунт должен вести в оплату, но не подключено... убери, чтобы некликабельная»</t>
  </si>
  <si>
    <t xml:space="preserve">58:16</t>
  </si>
  <si>
    <t xml:space="preserve">Сводка находок</t>
  </si>
  <si>
    <t xml:space="preserve">Считается автоматически из листа «Находки». Отсюда берём приоритеты.</t>
  </si>
  <si>
    <t xml:space="preserve">По тяжести</t>
  </si>
  <si>
    <t xml:space="preserve">Категория</t>
  </si>
  <si>
    <t xml:space="preserve">Кол-во</t>
  </si>
  <si>
    <t xml:space="preserve">Тяжесть 4 — блокеры</t>
  </si>
  <si>
    <t xml:space="preserve">Тяжесть 3 — серьёзно мешает</t>
  </si>
  <si>
    <t xml:space="preserve">Тяжесть 2 — раздражает</t>
  </si>
  <si>
    <t xml:space="preserve">Тяжесть 1 — косметика</t>
  </si>
  <si>
    <t xml:space="preserve">Всего находок</t>
  </si>
  <si>
    <t xml:space="preserve">По экранам</t>
  </si>
  <si>
    <t xml:space="preserve">Экран</t>
  </si>
  <si>
    <t xml:space="preserve">Находок</t>
  </si>
  <si>
    <t xml:space="preserve">Демо-вау</t>
  </si>
  <si>
    <t xml:space="preserve">Тема/язык</t>
  </si>
  <si>
    <t xml:space="preserve">Другое</t>
  </si>
  <si>
    <t xml:space="preserve">Чек-лист Go / No-Go перед 3 июля</t>
  </si>
  <si>
    <t xml:space="preserve">Каждый блокер — Зелёный (ок) или Красный (чиним). Запускаемся, когда все блокеры зелёные.</t>
  </si>
  <si>
    <t xml:space="preserve">Зона</t>
  </si>
  <si>
    <t xml:space="preserve">Критерий</t>
  </si>
  <si>
    <t xml:space="preserve">Тип</t>
  </si>
  <si>
    <t xml:space="preserve">Статус</t>
  </si>
  <si>
    <t xml:space="preserve">Главная (desktop+моб.)</t>
  </si>
  <si>
    <t xml:space="preserve">За минуту ясно, что за продукт и для кого; есть очевидный следующий шаг</t>
  </si>
  <si>
    <t xml:space="preserve">Блокер</t>
  </si>
  <si>
    <t xml:space="preserve">🔴 (P1): не поняла модель, value не считывается</t>
  </si>
  <si>
    <t xml:space="preserve">Демо-вау на лендинге</t>
  </si>
  <si>
    <t xml:space="preserve">Ролик URL→КБЖУ→обложка читается как «настоящее», не баг</t>
  </si>
  <si>
    <t xml:space="preserve">🟡 (P1): демо не считала как «живое», восторг — на фото</t>
  </si>
  <si>
    <t xml:space="preserve">Каталог и фильтры</t>
  </si>
  <si>
    <t xml:space="preserve">Поиск находит; фильтры понятны; на мобайле drawer открывается</t>
  </si>
  <si>
    <t xml:space="preserve">🔴 (P1): поиск с багом (лимит символов/склонения)</t>
  </si>
  <si>
    <t xml:space="preserve">Читается на телефоне; блок КБЖУ понятен; история/состав/шаги на месте</t>
  </si>
  <si>
    <t xml:space="preserve">🟢 (P1): «просто и понятно», мелочь дл→мл</t>
  </si>
  <si>
    <t xml:space="preserve">Регистрация / вход</t>
  </si>
  <si>
    <t xml:space="preserve">Email и Google проходят с телефона и десктопа без тупика</t>
  </si>
  <si>
    <t xml:space="preserve">🟡 (P1): прошла, но трение с email-подтверждением на десктопе</t>
  </si>
  <si>
    <t xml:space="preserve">Моя книга: создать рецепт</t>
  </si>
  <si>
    <t xml:space="preserve">Человек создаёт свой рецепт и получает КБЖУ/обложку без помощи</t>
  </si>
  <si>
    <t xml:space="preserve">Важно</t>
  </si>
  <si>
    <t xml:space="preserve">🔴 (P1): дошла, но замена КБЖУ-ингредиента сломана (sev4)</t>
  </si>
  <si>
    <t xml:space="preserve">Страница тарифов</t>
  </si>
  <si>
    <t xml:space="preserve">Понятно, что бесплатно/«скоро»/платно; нет ощущения обмана</t>
  </si>
  <si>
    <t xml:space="preserve">🔴 (P1): много copy-проблем, кнопки-обманки, «фри/гость»</t>
  </si>
  <si>
    <t xml:space="preserve">Тёмная тема / язык</t>
  </si>
  <si>
    <t xml:space="preserve">Переключение не ломает вёрстку; EN-тексты без дыр</t>
  </si>
  <si>
    <t xml:space="preserve">Желательно</t>
  </si>
  <si>
    <t xml:space="preserve">⚪ Не тестировалось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</si>
</sst>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A2E3A"/>
      <name val="Arial"/>
      <family val="0"/>
      <charset val="1"/>
    </font>
    <font>
      <i val="true"/>
      <sz val="10"/>
      <color rgb="FF6B62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9A9186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2E3A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4B8"/>
      </left>
      <right style="thin">
        <color rgb="FFCCC4B8"/>
      </right>
      <top style="thin">
        <color rgb="FFCCC4B8"/>
      </top>
      <bottom style="thin">
        <color rgb="FFCCC4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4B8"/>
      <rgbColor rgb="FF808080"/>
      <rgbColor rgb="FF9999FF"/>
      <rgbColor rgb="FF7A2E3A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259"/>
      <rgbColor rgb="FF9A918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20"/>
    <col collapsed="false" customWidth="true" hidden="false" outlineLevel="0" max="8" min="8" style="1" width="3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30" hidden="false" customHeight="true" outlineLevel="0" collapsed="false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30" hidden="false" customHeight="true" outlineLevel="0" collapsed="false">
      <c r="A6" s="5" t="s">
        <v>18</v>
      </c>
      <c r="B6" s="5"/>
      <c r="C6" s="5"/>
      <c r="D6" s="5"/>
      <c r="E6" s="5"/>
      <c r="F6" s="5"/>
      <c r="G6" s="5"/>
      <c r="H6" s="5"/>
    </row>
    <row r="7" customFormat="false" ht="30" hidden="false" customHeight="true" outlineLevel="0" collapsed="false">
      <c r="A7" s="5" t="s">
        <v>19</v>
      </c>
      <c r="B7" s="5"/>
      <c r="C7" s="5"/>
      <c r="D7" s="5"/>
      <c r="E7" s="5"/>
      <c r="F7" s="5"/>
      <c r="G7" s="5"/>
      <c r="H7" s="5"/>
    </row>
    <row r="8" customFormat="false" ht="30" hidden="false" customHeight="true" outlineLevel="0" collapsed="false">
      <c r="A8" s="5" t="s">
        <v>20</v>
      </c>
      <c r="B8" s="5"/>
      <c r="C8" s="5"/>
      <c r="D8" s="5"/>
      <c r="E8" s="5"/>
      <c r="F8" s="5"/>
      <c r="G8" s="5"/>
      <c r="H8" s="5"/>
    </row>
    <row r="9" customFormat="false" ht="30" hidden="false" customHeight="true" outlineLevel="0" collapsed="false">
      <c r="A9" s="5" t="s">
        <v>21</v>
      </c>
      <c r="B9" s="5"/>
      <c r="C9" s="5"/>
      <c r="D9" s="5"/>
      <c r="E9" s="5"/>
      <c r="F9" s="5"/>
      <c r="G9" s="5"/>
      <c r="H9" s="5"/>
    </row>
    <row r="10" customFormat="false" ht="30" hidden="false" customHeight="true" outlineLevel="0" collapsed="false"/>
    <row r="11" customFormat="false" ht="30" hidden="false" customHeight="true" outlineLevel="0" collapsed="false"/>
    <row r="12" customFormat="false" ht="30" hidden="false" customHeight="true" outlineLevel="0" collapsed="false"/>
    <row r="13" customFormat="false" ht="30" hidden="false" customHeight="true" outlineLevel="0" collapsed="false"/>
    <row r="14" customFormat="false" ht="30" hidden="false" customHeight="true" outlineLevel="0" collapsed="false"/>
    <row r="15" customFormat="false" ht="30" hidden="false" customHeight="true" outlineLevel="0" collapsed="false"/>
    <row r="16" customFormat="false" ht="30" hidden="false" customHeight="true" outlineLevel="0" collapsed="false"/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D5:D9" type="list">
      <formula1>"Телефон,Десктоп,Оба"</formula1>
      <formula2>0</formula2>
    </dataValidation>
    <dataValidation allowBlank="true" errorStyle="stop" operator="between" showDropDown="false" showErrorMessage="false" showInputMessage="false" sqref="E5:G9" type="list">
      <formula1>"Да,Частично,Нет"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8"/>
    <col collapsed="false" customWidth="true" hidden="false" outlineLevel="0" max="5" min="5" style="1" width="38"/>
    <col collapsed="false" customWidth="true" hidden="false" outlineLevel="0" max="7" min="6" style="1" width="12"/>
    <col collapsed="false" customWidth="true" hidden="false" outlineLevel="0" max="8" min="8" style="1" width="32"/>
    <col collapsed="false" customWidth="true" hidden="false" outlineLevel="0" max="10" min="9" style="1" width="15"/>
  </cols>
  <sheetData>
    <row r="1" customFormat="false" ht="21.75" hidden="false" customHeight="true" outlineLevel="0" collapsed="false">
      <c r="A1" s="2" t="s">
        <v>22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23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4" t="s">
        <v>2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</row>
    <row r="5" customFormat="false" ht="30" hidden="false" customHeight="true" outlineLevel="0" collapsed="false">
      <c r="A5" s="6" t="s">
        <v>33</v>
      </c>
      <c r="B5" s="6" t="s">
        <v>10</v>
      </c>
      <c r="C5" s="6" t="s">
        <v>34</v>
      </c>
      <c r="D5" s="6" t="s">
        <v>35</v>
      </c>
      <c r="E5" s="6" t="s">
        <v>36</v>
      </c>
      <c r="F5" s="6" t="n">
        <v>4</v>
      </c>
      <c r="G5" s="6" t="s">
        <v>37</v>
      </c>
      <c r="H5" s="6" t="s">
        <v>38</v>
      </c>
      <c r="I5" s="6" t="s">
        <v>39</v>
      </c>
      <c r="J5" s="6" t="s">
        <v>40</v>
      </c>
    </row>
    <row r="6" customFormat="false" ht="30" hidden="false" customHeight="true" outlineLevel="0" collapsed="false">
      <c r="A6" s="5" t="s">
        <v>41</v>
      </c>
      <c r="B6" s="5" t="s">
        <v>10</v>
      </c>
      <c r="C6" s="5" t="s">
        <v>34</v>
      </c>
      <c r="D6" s="5" t="s">
        <v>42</v>
      </c>
      <c r="E6" s="5" t="s">
        <v>43</v>
      </c>
      <c r="F6" s="5" t="n">
        <v>3</v>
      </c>
      <c r="G6" s="5" t="s">
        <v>37</v>
      </c>
      <c r="H6" s="5" t="s">
        <v>44</v>
      </c>
      <c r="I6" s="5" t="s">
        <v>45</v>
      </c>
      <c r="J6" s="5" t="s">
        <v>46</v>
      </c>
    </row>
    <row r="7" customFormat="false" ht="30" hidden="false" customHeight="true" outlineLevel="0" collapsed="false">
      <c r="A7" s="5" t="s">
        <v>47</v>
      </c>
      <c r="B7" s="5" t="s">
        <v>10</v>
      </c>
      <c r="C7" s="5" t="s">
        <v>34</v>
      </c>
      <c r="D7" s="5" t="s">
        <v>42</v>
      </c>
      <c r="E7" s="5" t="s">
        <v>48</v>
      </c>
      <c r="F7" s="5" t="n">
        <v>2</v>
      </c>
      <c r="G7" s="5" t="s">
        <v>37</v>
      </c>
      <c r="H7" s="5" t="s">
        <v>49</v>
      </c>
      <c r="I7" s="5" t="s">
        <v>50</v>
      </c>
      <c r="J7" s="5" t="s">
        <v>46</v>
      </c>
    </row>
    <row r="8" customFormat="false" ht="30" hidden="false" customHeight="true" outlineLevel="0" collapsed="false">
      <c r="A8" s="5" t="s">
        <v>51</v>
      </c>
      <c r="B8" s="5" t="s">
        <v>10</v>
      </c>
      <c r="C8" s="5" t="s">
        <v>34</v>
      </c>
      <c r="D8" s="5" t="s">
        <v>42</v>
      </c>
      <c r="E8" s="5" t="s">
        <v>52</v>
      </c>
      <c r="F8" s="5" t="n">
        <v>2</v>
      </c>
      <c r="G8" s="5" t="s">
        <v>37</v>
      </c>
      <c r="H8" s="5" t="s">
        <v>53</v>
      </c>
      <c r="I8" s="5" t="s">
        <v>54</v>
      </c>
      <c r="J8" s="5" t="s">
        <v>55</v>
      </c>
    </row>
    <row r="9" customFormat="false" ht="30" hidden="false" customHeight="true" outlineLevel="0" collapsed="false">
      <c r="A9" s="5" t="s">
        <v>56</v>
      </c>
      <c r="B9" s="5" t="s">
        <v>10</v>
      </c>
      <c r="C9" s="5" t="s">
        <v>34</v>
      </c>
      <c r="D9" s="5" t="s">
        <v>57</v>
      </c>
      <c r="E9" s="5" t="s">
        <v>58</v>
      </c>
      <c r="F9" s="5" t="n">
        <v>3</v>
      </c>
      <c r="G9" s="5" t="s">
        <v>37</v>
      </c>
      <c r="H9" s="5" t="s">
        <v>59</v>
      </c>
      <c r="I9" s="5" t="s">
        <v>60</v>
      </c>
      <c r="J9" s="5" t="s">
        <v>46</v>
      </c>
    </row>
    <row r="10" customFormat="false" ht="30" hidden="false" customHeight="true" outlineLevel="0" collapsed="false">
      <c r="A10" s="5" t="s">
        <v>61</v>
      </c>
      <c r="B10" s="5" t="s">
        <v>10</v>
      </c>
      <c r="C10" s="5" t="s">
        <v>34</v>
      </c>
      <c r="D10" s="5" t="s">
        <v>42</v>
      </c>
      <c r="E10" s="5" t="s">
        <v>62</v>
      </c>
      <c r="F10" s="5" t="n">
        <v>3</v>
      </c>
      <c r="G10" s="5" t="s">
        <v>37</v>
      </c>
      <c r="H10" s="5" t="s">
        <v>63</v>
      </c>
      <c r="I10" s="5" t="s">
        <v>64</v>
      </c>
      <c r="J10" s="5" t="s">
        <v>46</v>
      </c>
    </row>
    <row r="11" customFormat="false" ht="30" hidden="false" customHeight="true" outlineLevel="0" collapsed="false">
      <c r="A11" s="5" t="s">
        <v>65</v>
      </c>
      <c r="B11" s="5" t="s">
        <v>10</v>
      </c>
      <c r="C11" s="5" t="s">
        <v>34</v>
      </c>
      <c r="D11" s="5" t="s">
        <v>57</v>
      </c>
      <c r="E11" s="5" t="s">
        <v>66</v>
      </c>
      <c r="F11" s="5" t="n">
        <v>1</v>
      </c>
      <c r="G11" s="5" t="s">
        <v>37</v>
      </c>
      <c r="H11" s="5" t="s">
        <v>67</v>
      </c>
      <c r="I11" s="5" t="s">
        <v>68</v>
      </c>
      <c r="J11" s="5" t="s">
        <v>55</v>
      </c>
    </row>
    <row r="12" customFormat="false" ht="30" hidden="false" customHeight="true" outlineLevel="0" collapsed="false">
      <c r="A12" s="5" t="s">
        <v>69</v>
      </c>
      <c r="B12" s="5" t="s">
        <v>10</v>
      </c>
      <c r="C12" s="5" t="s">
        <v>70</v>
      </c>
      <c r="D12" s="5" t="s">
        <v>71</v>
      </c>
      <c r="E12" s="5" t="s">
        <v>72</v>
      </c>
      <c r="F12" s="5" t="n">
        <v>3</v>
      </c>
      <c r="G12" s="5" t="s">
        <v>73</v>
      </c>
      <c r="H12" s="5" t="s">
        <v>74</v>
      </c>
      <c r="I12" s="5" t="s">
        <v>75</v>
      </c>
      <c r="J12" s="5" t="s">
        <v>46</v>
      </c>
    </row>
    <row r="13" customFormat="false" ht="30" hidden="false" customHeight="true" outlineLevel="0" collapsed="false">
      <c r="A13" s="5" t="s">
        <v>76</v>
      </c>
      <c r="B13" s="5" t="s">
        <v>10</v>
      </c>
      <c r="C13" s="5" t="s">
        <v>70</v>
      </c>
      <c r="D13" s="5" t="s">
        <v>71</v>
      </c>
      <c r="E13" s="5" t="s">
        <v>77</v>
      </c>
      <c r="F13" s="5" t="n">
        <v>2</v>
      </c>
      <c r="G13" s="5" t="s">
        <v>73</v>
      </c>
      <c r="H13" s="5" t="s">
        <v>78</v>
      </c>
      <c r="I13" s="5" t="s">
        <v>79</v>
      </c>
      <c r="J13" s="5" t="s">
        <v>46</v>
      </c>
    </row>
    <row r="14" customFormat="false" ht="30" hidden="false" customHeight="true" outlineLevel="0" collapsed="false">
      <c r="A14" s="5" t="s">
        <v>80</v>
      </c>
      <c r="B14" s="5" t="s">
        <v>10</v>
      </c>
      <c r="C14" s="5" t="s">
        <v>81</v>
      </c>
      <c r="D14" s="5" t="s">
        <v>71</v>
      </c>
      <c r="E14" s="5" t="s">
        <v>82</v>
      </c>
      <c r="F14" s="5" t="n">
        <v>3</v>
      </c>
      <c r="G14" s="5" t="s">
        <v>73</v>
      </c>
      <c r="H14" s="5" t="s">
        <v>83</v>
      </c>
      <c r="I14" s="5" t="s">
        <v>84</v>
      </c>
      <c r="J14" s="5" t="s">
        <v>46</v>
      </c>
    </row>
    <row r="15" customFormat="false" ht="30" hidden="false" customHeight="true" outlineLevel="0" collapsed="false">
      <c r="A15" s="5" t="s">
        <v>85</v>
      </c>
      <c r="B15" s="5" t="s">
        <v>10</v>
      </c>
      <c r="C15" s="5" t="s">
        <v>81</v>
      </c>
      <c r="D15" s="5" t="s">
        <v>35</v>
      </c>
      <c r="E15" s="5" t="s">
        <v>86</v>
      </c>
      <c r="F15" s="5" t="n">
        <v>3</v>
      </c>
      <c r="G15" s="5" t="s">
        <v>73</v>
      </c>
      <c r="H15" s="5" t="s">
        <v>87</v>
      </c>
      <c r="I15" s="5" t="s">
        <v>88</v>
      </c>
      <c r="J15" s="5" t="s">
        <v>46</v>
      </c>
    </row>
    <row r="16" customFormat="false" ht="30" hidden="false" customHeight="true" outlineLevel="0" collapsed="false">
      <c r="A16" s="5" t="s">
        <v>89</v>
      </c>
      <c r="B16" s="5" t="s">
        <v>10</v>
      </c>
      <c r="C16" s="5" t="s">
        <v>90</v>
      </c>
      <c r="D16" s="5" t="s">
        <v>35</v>
      </c>
      <c r="E16" s="5" t="s">
        <v>91</v>
      </c>
      <c r="F16" s="5" t="n">
        <v>2</v>
      </c>
      <c r="G16" s="5" t="s">
        <v>92</v>
      </c>
      <c r="H16" s="5" t="s">
        <v>93</v>
      </c>
      <c r="I16" s="5" t="s">
        <v>94</v>
      </c>
      <c r="J16" s="5" t="s">
        <v>46</v>
      </c>
    </row>
    <row r="17" customFormat="false" ht="30" hidden="false" customHeight="true" outlineLevel="0" collapsed="false">
      <c r="A17" s="5" t="s">
        <v>95</v>
      </c>
      <c r="B17" s="5" t="s">
        <v>10</v>
      </c>
      <c r="C17" s="5" t="s">
        <v>90</v>
      </c>
      <c r="D17" s="5" t="s">
        <v>35</v>
      </c>
      <c r="E17" s="5" t="s">
        <v>96</v>
      </c>
      <c r="F17" s="5" t="n">
        <v>1</v>
      </c>
      <c r="G17" s="5" t="s">
        <v>92</v>
      </c>
      <c r="H17" s="5" t="s">
        <v>97</v>
      </c>
      <c r="I17" s="5" t="s">
        <v>98</v>
      </c>
      <c r="J17" s="5" t="s">
        <v>99</v>
      </c>
    </row>
    <row r="18" customFormat="false" ht="30" hidden="false" customHeight="true" outlineLevel="0" collapsed="false">
      <c r="A18" s="5" t="s">
        <v>100</v>
      </c>
      <c r="B18" s="5" t="s">
        <v>10</v>
      </c>
      <c r="C18" s="5" t="s">
        <v>90</v>
      </c>
      <c r="D18" s="5" t="s">
        <v>35</v>
      </c>
      <c r="E18" s="5" t="s">
        <v>101</v>
      </c>
      <c r="F18" s="5" t="n">
        <v>1</v>
      </c>
      <c r="G18" s="5" t="s">
        <v>73</v>
      </c>
      <c r="H18" s="5" t="s">
        <v>102</v>
      </c>
      <c r="I18" s="5" t="s">
        <v>103</v>
      </c>
      <c r="J18" s="5" t="s">
        <v>55</v>
      </c>
    </row>
    <row r="19" customFormat="false" ht="30" hidden="false" customHeight="true" outlineLevel="0" collapsed="false">
      <c r="A19" s="5" t="s">
        <v>104</v>
      </c>
      <c r="B19" s="5" t="s">
        <v>10</v>
      </c>
      <c r="C19" s="5" t="s">
        <v>90</v>
      </c>
      <c r="D19" s="5" t="s">
        <v>105</v>
      </c>
      <c r="E19" s="5" t="s">
        <v>106</v>
      </c>
      <c r="F19" s="5" t="n">
        <v>2</v>
      </c>
      <c r="G19" s="5" t="s">
        <v>73</v>
      </c>
      <c r="H19" s="5" t="s">
        <v>107</v>
      </c>
      <c r="I19" s="5" t="s">
        <v>108</v>
      </c>
      <c r="J19" s="5" t="s">
        <v>46</v>
      </c>
    </row>
    <row r="20" customFormat="false" ht="30" hidden="false" customHeight="true" outlineLevel="0" collapsed="false">
      <c r="A20" s="5" t="s">
        <v>109</v>
      </c>
      <c r="B20" s="5" t="s">
        <v>10</v>
      </c>
      <c r="C20" s="5" t="s">
        <v>81</v>
      </c>
      <c r="D20" s="5" t="s">
        <v>105</v>
      </c>
      <c r="E20" s="5" t="s">
        <v>110</v>
      </c>
      <c r="F20" s="5" t="n">
        <v>2</v>
      </c>
      <c r="G20" s="5" t="s">
        <v>73</v>
      </c>
      <c r="H20" s="5" t="s">
        <v>111</v>
      </c>
      <c r="I20" s="5" t="s">
        <v>112</v>
      </c>
      <c r="J20" s="5" t="s">
        <v>46</v>
      </c>
    </row>
    <row r="21" customFormat="false" ht="30" hidden="false" customHeight="true" outlineLevel="0" collapsed="false">
      <c r="A21" s="5" t="s">
        <v>113</v>
      </c>
      <c r="B21" s="5" t="s">
        <v>10</v>
      </c>
      <c r="C21" s="5" t="s">
        <v>81</v>
      </c>
      <c r="D21" s="5" t="s">
        <v>105</v>
      </c>
      <c r="E21" s="5" t="s">
        <v>114</v>
      </c>
      <c r="F21" s="5" t="n">
        <v>3</v>
      </c>
      <c r="G21" s="5" t="s">
        <v>73</v>
      </c>
      <c r="H21" s="5" t="s">
        <v>115</v>
      </c>
      <c r="I21" s="5" t="s">
        <v>116</v>
      </c>
      <c r="J21" s="5" t="s">
        <v>46</v>
      </c>
    </row>
    <row r="22" customFormat="false" ht="30" hidden="false" customHeight="true" outlineLevel="0" collapsed="false">
      <c r="A22" s="5" t="s">
        <v>117</v>
      </c>
      <c r="B22" s="5" t="s">
        <v>10</v>
      </c>
      <c r="C22" s="5" t="s">
        <v>81</v>
      </c>
      <c r="D22" s="5" t="s">
        <v>105</v>
      </c>
      <c r="E22" s="5" t="s">
        <v>118</v>
      </c>
      <c r="F22" s="5" t="n">
        <v>3</v>
      </c>
      <c r="G22" s="5" t="s">
        <v>92</v>
      </c>
      <c r="H22" s="5" t="s">
        <v>119</v>
      </c>
      <c r="I22" s="5" t="s">
        <v>120</v>
      </c>
      <c r="J22" s="5" t="s">
        <v>46</v>
      </c>
    </row>
    <row r="23" customFormat="false" ht="30" hidden="false" customHeight="true" outlineLevel="0" collapsed="false">
      <c r="A23" s="5" t="s">
        <v>121</v>
      </c>
      <c r="B23" s="5" t="s">
        <v>10</v>
      </c>
      <c r="C23" s="5" t="s">
        <v>81</v>
      </c>
      <c r="D23" s="5" t="s">
        <v>105</v>
      </c>
      <c r="E23" s="5" t="s">
        <v>122</v>
      </c>
      <c r="F23" s="5" t="n">
        <v>4</v>
      </c>
      <c r="G23" s="5" t="s">
        <v>92</v>
      </c>
      <c r="H23" s="5" t="s">
        <v>123</v>
      </c>
      <c r="I23" s="5" t="s">
        <v>124</v>
      </c>
      <c r="J23" s="5" t="s">
        <v>46</v>
      </c>
    </row>
    <row r="24" customFormat="false" ht="30" hidden="false" customHeight="true" outlineLevel="0" collapsed="false">
      <c r="A24" s="5" t="s">
        <v>125</v>
      </c>
      <c r="B24" s="5" t="s">
        <v>10</v>
      </c>
      <c r="C24" s="5" t="s">
        <v>81</v>
      </c>
      <c r="D24" s="5" t="s">
        <v>105</v>
      </c>
      <c r="E24" s="5" t="s">
        <v>126</v>
      </c>
      <c r="F24" s="5" t="n">
        <v>3</v>
      </c>
      <c r="G24" s="5" t="s">
        <v>92</v>
      </c>
      <c r="H24" s="5" t="s">
        <v>127</v>
      </c>
      <c r="I24" s="5" t="s">
        <v>128</v>
      </c>
      <c r="J24" s="5" t="s">
        <v>46</v>
      </c>
    </row>
    <row r="25" customFormat="false" ht="30" hidden="false" customHeight="true" outlineLevel="0" collapsed="false">
      <c r="A25" s="5" t="s">
        <v>129</v>
      </c>
      <c r="B25" s="5" t="s">
        <v>10</v>
      </c>
      <c r="C25" s="5" t="s">
        <v>81</v>
      </c>
      <c r="D25" s="5" t="s">
        <v>105</v>
      </c>
      <c r="E25" s="5" t="s">
        <v>130</v>
      </c>
      <c r="F25" s="5" t="n">
        <v>2</v>
      </c>
      <c r="G25" s="5" t="s">
        <v>92</v>
      </c>
      <c r="H25" s="5" t="s">
        <v>131</v>
      </c>
      <c r="I25" s="5" t="s">
        <v>132</v>
      </c>
      <c r="J25" s="5" t="s">
        <v>99</v>
      </c>
    </row>
    <row r="26" customFormat="false" ht="30" hidden="false" customHeight="true" outlineLevel="0" collapsed="false">
      <c r="A26" s="5" t="s">
        <v>133</v>
      </c>
      <c r="B26" s="5" t="s">
        <v>10</v>
      </c>
      <c r="C26" s="5" t="s">
        <v>81</v>
      </c>
      <c r="D26" s="5" t="s">
        <v>105</v>
      </c>
      <c r="E26" s="5" t="s">
        <v>134</v>
      </c>
      <c r="F26" s="5" t="n">
        <v>3</v>
      </c>
      <c r="G26" s="5" t="s">
        <v>73</v>
      </c>
      <c r="H26" s="5" t="s">
        <v>135</v>
      </c>
      <c r="I26" s="5" t="s">
        <v>136</v>
      </c>
      <c r="J26" s="5" t="s">
        <v>46</v>
      </c>
    </row>
    <row r="27" customFormat="false" ht="30" hidden="false" customHeight="true" outlineLevel="0" collapsed="false">
      <c r="A27" s="5" t="s">
        <v>137</v>
      </c>
      <c r="B27" s="5" t="s">
        <v>10</v>
      </c>
      <c r="C27" s="5" t="s">
        <v>81</v>
      </c>
      <c r="D27" s="5" t="s">
        <v>105</v>
      </c>
      <c r="E27" s="5" t="s">
        <v>138</v>
      </c>
      <c r="F27" s="5" t="n">
        <v>1</v>
      </c>
      <c r="G27" s="5" t="s">
        <v>92</v>
      </c>
      <c r="H27" s="5" t="s">
        <v>139</v>
      </c>
      <c r="I27" s="5" t="s">
        <v>140</v>
      </c>
      <c r="J27" s="5" t="s">
        <v>55</v>
      </c>
    </row>
    <row r="28" customFormat="false" ht="30" hidden="false" customHeight="true" outlineLevel="0" collapsed="false">
      <c r="A28" s="5" t="s">
        <v>141</v>
      </c>
      <c r="B28" s="5" t="s">
        <v>10</v>
      </c>
      <c r="C28" s="5" t="s">
        <v>81</v>
      </c>
      <c r="D28" s="5" t="s">
        <v>105</v>
      </c>
      <c r="E28" s="5" t="s">
        <v>142</v>
      </c>
      <c r="F28" s="5" t="n">
        <v>1</v>
      </c>
      <c r="G28" s="5" t="s">
        <v>92</v>
      </c>
      <c r="H28" s="5" t="s">
        <v>143</v>
      </c>
      <c r="I28" s="5" t="s">
        <v>144</v>
      </c>
      <c r="J28" s="5" t="s">
        <v>55</v>
      </c>
    </row>
    <row r="29" customFormat="false" ht="30" hidden="false" customHeight="true" outlineLevel="0" collapsed="false">
      <c r="A29" s="5" t="s">
        <v>145</v>
      </c>
      <c r="B29" s="5" t="s">
        <v>10</v>
      </c>
      <c r="C29" s="5" t="s">
        <v>146</v>
      </c>
      <c r="D29" s="5" t="s">
        <v>35</v>
      </c>
      <c r="E29" s="5" t="s">
        <v>147</v>
      </c>
      <c r="F29" s="5" t="n">
        <v>3</v>
      </c>
      <c r="G29" s="5" t="s">
        <v>73</v>
      </c>
      <c r="H29" s="5" t="s">
        <v>148</v>
      </c>
      <c r="I29" s="5" t="s">
        <v>149</v>
      </c>
      <c r="J29" s="5" t="s">
        <v>46</v>
      </c>
    </row>
    <row r="30" customFormat="false" ht="30" hidden="false" customHeight="true" outlineLevel="0" collapsed="false">
      <c r="A30" s="5" t="s">
        <v>150</v>
      </c>
      <c r="B30" s="5" t="s">
        <v>10</v>
      </c>
      <c r="C30" s="5" t="s">
        <v>146</v>
      </c>
      <c r="D30" s="5" t="s">
        <v>35</v>
      </c>
      <c r="E30" s="5" t="s">
        <v>151</v>
      </c>
      <c r="F30" s="5" t="n">
        <v>2</v>
      </c>
      <c r="G30" s="5" t="s">
        <v>73</v>
      </c>
      <c r="H30" s="5" t="s">
        <v>152</v>
      </c>
      <c r="I30" s="5" t="s">
        <v>153</v>
      </c>
      <c r="J30" s="5" t="s">
        <v>46</v>
      </c>
    </row>
    <row r="31" customFormat="false" ht="30" hidden="false" customHeight="true" outlineLevel="0" collapsed="false">
      <c r="A31" s="5" t="s">
        <v>154</v>
      </c>
      <c r="B31" s="5" t="s">
        <v>10</v>
      </c>
      <c r="C31" s="5" t="s">
        <v>155</v>
      </c>
      <c r="D31" s="5" t="s">
        <v>156</v>
      </c>
      <c r="E31" s="5" t="s">
        <v>157</v>
      </c>
      <c r="F31" s="5" t="n">
        <v>2</v>
      </c>
      <c r="G31" s="5" t="s">
        <v>37</v>
      </c>
      <c r="H31" s="5" t="s">
        <v>158</v>
      </c>
      <c r="I31" s="5" t="s">
        <v>159</v>
      </c>
      <c r="J31" s="5" t="s">
        <v>46</v>
      </c>
    </row>
    <row r="32" customFormat="false" ht="30" hidden="false" customHeight="true" outlineLevel="0" collapsed="false">
      <c r="A32" s="5" t="s">
        <v>160</v>
      </c>
      <c r="B32" s="5" t="s">
        <v>10</v>
      </c>
      <c r="C32" s="5" t="s">
        <v>155</v>
      </c>
      <c r="D32" s="5" t="s">
        <v>156</v>
      </c>
      <c r="E32" s="5" t="s">
        <v>161</v>
      </c>
      <c r="F32" s="5" t="n">
        <v>2</v>
      </c>
      <c r="G32" s="5" t="s">
        <v>37</v>
      </c>
      <c r="H32" s="5" t="s">
        <v>162</v>
      </c>
      <c r="I32" s="5" t="s">
        <v>163</v>
      </c>
      <c r="J32" s="5" t="s">
        <v>46</v>
      </c>
    </row>
    <row r="33" customFormat="false" ht="30" hidden="false" customHeight="true" outlineLevel="0" collapsed="false">
      <c r="A33" s="5" t="s">
        <v>164</v>
      </c>
      <c r="B33" s="5" t="s">
        <v>10</v>
      </c>
      <c r="C33" s="5" t="s">
        <v>155</v>
      </c>
      <c r="D33" s="5" t="s">
        <v>156</v>
      </c>
      <c r="E33" s="5" t="s">
        <v>165</v>
      </c>
      <c r="F33" s="5" t="n">
        <v>3</v>
      </c>
      <c r="G33" s="5" t="s">
        <v>37</v>
      </c>
      <c r="H33" s="5" t="s">
        <v>166</v>
      </c>
      <c r="I33" s="5" t="s">
        <v>167</v>
      </c>
      <c r="J33" s="5" t="s">
        <v>46</v>
      </c>
    </row>
    <row r="34" customFormat="false" ht="30" hidden="false" customHeight="true" outlineLevel="0" collapsed="false">
      <c r="A34" s="5" t="s">
        <v>168</v>
      </c>
      <c r="B34" s="5" t="s">
        <v>10</v>
      </c>
      <c r="C34" s="5" t="s">
        <v>155</v>
      </c>
      <c r="D34" s="5" t="s">
        <v>156</v>
      </c>
      <c r="E34" s="5" t="s">
        <v>169</v>
      </c>
      <c r="F34" s="5" t="n">
        <v>3</v>
      </c>
      <c r="G34" s="5" t="s">
        <v>37</v>
      </c>
      <c r="H34" s="5" t="s">
        <v>170</v>
      </c>
      <c r="I34" s="5" t="s">
        <v>171</v>
      </c>
      <c r="J34" s="5" t="s">
        <v>46</v>
      </c>
    </row>
    <row r="35" customFormat="false" ht="30" hidden="false" customHeight="true" outlineLevel="0" collapsed="false">
      <c r="A35" s="5" t="s">
        <v>172</v>
      </c>
      <c r="B35" s="5" t="s">
        <v>10</v>
      </c>
      <c r="C35" s="5" t="s">
        <v>155</v>
      </c>
      <c r="D35" s="5" t="s">
        <v>156</v>
      </c>
      <c r="E35" s="5" t="s">
        <v>173</v>
      </c>
      <c r="F35" s="5" t="n">
        <v>3</v>
      </c>
      <c r="G35" s="5" t="s">
        <v>37</v>
      </c>
      <c r="H35" s="5" t="s">
        <v>174</v>
      </c>
      <c r="I35" s="5" t="s">
        <v>175</v>
      </c>
      <c r="J35" s="5" t="s">
        <v>46</v>
      </c>
    </row>
    <row r="36" customFormat="false" ht="30" hidden="false" customHeight="true" outlineLevel="0" collapsed="false">
      <c r="A36" s="5" t="s">
        <v>176</v>
      </c>
      <c r="B36" s="5" t="s">
        <v>10</v>
      </c>
      <c r="C36" s="5" t="s">
        <v>155</v>
      </c>
      <c r="D36" s="5" t="s">
        <v>156</v>
      </c>
      <c r="E36" s="5" t="s">
        <v>177</v>
      </c>
      <c r="F36" s="5" t="n">
        <v>1</v>
      </c>
      <c r="G36" s="5" t="s">
        <v>37</v>
      </c>
      <c r="H36" s="5" t="s">
        <v>178</v>
      </c>
      <c r="I36" s="5" t="s">
        <v>179</v>
      </c>
      <c r="J36" s="5" t="s">
        <v>55</v>
      </c>
    </row>
    <row r="37" customFormat="false" ht="30" hidden="false" customHeight="true" outlineLevel="0" collapsed="false">
      <c r="A37" s="5" t="s">
        <v>180</v>
      </c>
      <c r="B37" s="5" t="s">
        <v>10</v>
      </c>
      <c r="C37" s="5" t="s">
        <v>155</v>
      </c>
      <c r="D37" s="5" t="s">
        <v>156</v>
      </c>
      <c r="E37" s="5" t="s">
        <v>181</v>
      </c>
      <c r="F37" s="5" t="n">
        <v>2</v>
      </c>
      <c r="G37" s="5" t="s">
        <v>37</v>
      </c>
      <c r="H37" s="5" t="s">
        <v>182</v>
      </c>
      <c r="I37" s="5" t="s">
        <v>183</v>
      </c>
      <c r="J37" s="5" t="s">
        <v>46</v>
      </c>
    </row>
    <row r="38" customFormat="false" ht="30" hidden="false" customHeight="true" outlineLevel="0" collapsed="false">
      <c r="A38" s="5" t="s">
        <v>184</v>
      </c>
      <c r="B38" s="5" t="s">
        <v>10</v>
      </c>
      <c r="C38" s="5" t="s">
        <v>155</v>
      </c>
      <c r="D38" s="5" t="s">
        <v>156</v>
      </c>
      <c r="E38" s="5" t="s">
        <v>185</v>
      </c>
      <c r="F38" s="5" t="n">
        <v>2</v>
      </c>
      <c r="G38" s="5" t="s">
        <v>37</v>
      </c>
      <c r="H38" s="5" t="s">
        <v>186</v>
      </c>
      <c r="I38" s="5" t="s">
        <v>187</v>
      </c>
      <c r="J38" s="5" t="s">
        <v>46</v>
      </c>
    </row>
    <row r="39" customFormat="false" ht="30" hidden="false" customHeight="true" outlineLevel="0" collapsed="false">
      <c r="A39" s="5" t="s">
        <v>188</v>
      </c>
      <c r="B39" s="5" t="s">
        <v>10</v>
      </c>
      <c r="C39" s="5" t="s">
        <v>155</v>
      </c>
      <c r="D39" s="5" t="s">
        <v>156</v>
      </c>
      <c r="E39" s="5" t="s">
        <v>189</v>
      </c>
      <c r="F39" s="5" t="n">
        <v>3</v>
      </c>
      <c r="G39" s="5" t="s">
        <v>73</v>
      </c>
      <c r="H39" s="5" t="s">
        <v>190</v>
      </c>
      <c r="I39" s="5" t="s">
        <v>191</v>
      </c>
      <c r="J39" s="5" t="s">
        <v>46</v>
      </c>
    </row>
    <row r="40" customFormat="false" ht="30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customFormat="false" ht="30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customFormat="false" ht="30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customFormat="false" ht="30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customFormat="false" ht="30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customFormat="false" ht="30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</row>
  </sheetData>
  <mergeCells count="2">
    <mergeCell ref="A1:H1"/>
    <mergeCell ref="A2:H2"/>
  </mergeCells>
  <dataValidations count="4">
    <dataValidation allowBlank="true" errorStyle="stop" operator="between" showDropDown="false" showErrorMessage="false" showInputMessage="false" sqref="F6:F45" type="list">
      <formula1>"4,3,2,1"</formula1>
      <formula2>0</formula2>
    </dataValidation>
    <dataValidation allowBlank="true" errorStyle="stop" operator="between" showDropDown="false" showErrorMessage="false" showInputMessage="false" sqref="G6:G45" type="list">
      <formula1>"В1,В2,В3,В4"</formula1>
      <formula2>0</formula2>
    </dataValidation>
    <dataValidation allowBlank="true" errorStyle="stop" operator="between" showDropDown="false" showErrorMessage="false" showInputMessage="false" sqref="C6:C45" type="list">
      <formula1>"Главная,Демо-вау,Каталог/фильтры,Страница рецепта,Регистрация,Моя книга,Тарифы,Тема/язык,Другое"</formula1>
      <formula2>0</formula2>
    </dataValidation>
    <dataValidation allowBlank="true" errorStyle="stop" operator="between" showDropDown="false" showErrorMessage="false" showInputMessage="false" sqref="J6:J45" type="list">
      <formula1>"Бэклог,Чиним,Исправлено,—"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</cols>
  <sheetData>
    <row r="1" customFormat="false" ht="21.75" hidden="false" customHeight="true" outlineLevel="0" collapsed="false">
      <c r="A1" s="2" t="s">
        <v>192</v>
      </c>
      <c r="B1" s="2"/>
      <c r="C1" s="2"/>
    </row>
    <row r="2" customFormat="false" ht="15" hidden="false" customHeight="true" outlineLevel="0" collapsed="false">
      <c r="A2" s="3" t="s">
        <v>193</v>
      </c>
      <c r="B2" s="3"/>
      <c r="C2" s="3"/>
    </row>
    <row r="4" customFormat="false" ht="15" hidden="false" customHeight="true" outlineLevel="0" collapsed="false">
      <c r="A4" s="7" t="s">
        <v>194</v>
      </c>
    </row>
    <row r="5" customFormat="false" ht="15" hidden="false" customHeight="true" outlineLevel="0" collapsed="false">
      <c r="A5" s="4" t="s">
        <v>195</v>
      </c>
      <c r="B5" s="4" t="s">
        <v>196</v>
      </c>
    </row>
    <row r="6" customFormat="false" ht="15" hidden="false" customHeight="true" outlineLevel="0" collapsed="false">
      <c r="A6" s="8" t="s">
        <v>197</v>
      </c>
      <c r="B6" s="9" t="n">
        <f aca="false">COUNTIF(Находки!F6:F45,4)</f>
        <v>1</v>
      </c>
    </row>
    <row r="7" customFormat="false" ht="15" hidden="false" customHeight="true" outlineLevel="0" collapsed="false">
      <c r="A7" s="8" t="s">
        <v>198</v>
      </c>
      <c r="B7" s="9" t="n">
        <f aca="false">COUNTIF(Находки!F6:F45,3)</f>
        <v>15</v>
      </c>
    </row>
    <row r="8" customFormat="false" ht="15" hidden="false" customHeight="true" outlineLevel="0" collapsed="false">
      <c r="A8" s="8" t="s">
        <v>199</v>
      </c>
      <c r="B8" s="9" t="n">
        <f aca="false">COUNTIF(Находки!F6:F45,2)</f>
        <v>12</v>
      </c>
    </row>
    <row r="9" customFormat="false" ht="15" hidden="false" customHeight="true" outlineLevel="0" collapsed="false">
      <c r="A9" s="8" t="s">
        <v>200</v>
      </c>
      <c r="B9" s="9" t="n">
        <f aca="false">COUNTIF(Находки!F6:F45,1)</f>
        <v>6</v>
      </c>
    </row>
    <row r="10" customFormat="false" ht="15" hidden="false" customHeight="true" outlineLevel="0" collapsed="false">
      <c r="A10" s="8" t="s">
        <v>201</v>
      </c>
      <c r="B10" s="9" t="n">
        <f aca="false">COUNTA(Находки!E6:E45)</f>
        <v>34</v>
      </c>
    </row>
    <row r="12" customFormat="false" ht="15" hidden="false" customHeight="true" outlineLevel="0" collapsed="false">
      <c r="A12" s="7" t="s">
        <v>202</v>
      </c>
    </row>
    <row r="13" customFormat="false" ht="15" hidden="false" customHeight="true" outlineLevel="0" collapsed="false">
      <c r="A13" s="4" t="s">
        <v>203</v>
      </c>
      <c r="B13" s="4" t="s">
        <v>204</v>
      </c>
    </row>
    <row r="14" customFormat="false" ht="15" hidden="false" customHeight="true" outlineLevel="0" collapsed="false">
      <c r="A14" s="8" t="s">
        <v>34</v>
      </c>
      <c r="B14" s="9" t="n">
        <f aca="false">COUNTIF(Находки!C6:C45,A14)</f>
        <v>6</v>
      </c>
    </row>
    <row r="15" customFormat="false" ht="15" hidden="false" customHeight="true" outlineLevel="0" collapsed="false">
      <c r="A15" s="8" t="s">
        <v>205</v>
      </c>
      <c r="B15" s="9" t="n">
        <f aca="false">COUNTIF(Находки!C6:C45,A15)</f>
        <v>0</v>
      </c>
    </row>
    <row r="16" customFormat="false" ht="15" hidden="false" customHeight="true" outlineLevel="0" collapsed="false">
      <c r="A16" s="8" t="s">
        <v>146</v>
      </c>
      <c r="B16" s="9" t="n">
        <f aca="false">COUNTIF(Находки!C6:C45,A16)</f>
        <v>2</v>
      </c>
    </row>
    <row r="17" customFormat="false" ht="15" hidden="false" customHeight="true" outlineLevel="0" collapsed="false">
      <c r="A17" s="8" t="s">
        <v>90</v>
      </c>
      <c r="B17" s="9" t="n">
        <f aca="false">COUNTIF(Находки!C6:C45,A17)</f>
        <v>4</v>
      </c>
    </row>
    <row r="18" customFormat="false" ht="15" hidden="false" customHeight="true" outlineLevel="0" collapsed="false">
      <c r="A18" s="8" t="s">
        <v>70</v>
      </c>
      <c r="B18" s="9" t="n">
        <f aca="false">COUNTIF(Находки!C6:C45,A18)</f>
        <v>2</v>
      </c>
    </row>
    <row r="19" customFormat="false" ht="15" hidden="false" customHeight="true" outlineLevel="0" collapsed="false">
      <c r="A19" s="8" t="s">
        <v>81</v>
      </c>
      <c r="B19" s="9" t="n">
        <f aca="false">COUNTIF(Находки!C6:C45,A19)</f>
        <v>11</v>
      </c>
    </row>
    <row r="20" customFormat="false" ht="15" hidden="false" customHeight="true" outlineLevel="0" collapsed="false">
      <c r="A20" s="8" t="s">
        <v>155</v>
      </c>
      <c r="B20" s="9" t="n">
        <f aca="false">COUNTIF(Находки!C6:C45,A20)</f>
        <v>9</v>
      </c>
    </row>
    <row r="21" customFormat="false" ht="15" hidden="false" customHeight="true" outlineLevel="0" collapsed="false">
      <c r="A21" s="8" t="s">
        <v>206</v>
      </c>
      <c r="B21" s="9" t="n">
        <f aca="false">COUNTIF(Находки!C6:C45,A21)</f>
        <v>0</v>
      </c>
    </row>
    <row r="22" customFormat="false" ht="15" hidden="false" customHeight="true" outlineLevel="0" collapsed="false">
      <c r="A22" s="8" t="s">
        <v>207</v>
      </c>
      <c r="B22" s="9" t="n">
        <f aca="false">COUNTIF(Находки!C6:C45,A22)</f>
        <v>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2"/>
    <col collapsed="false" customWidth="true" hidden="false" outlineLevel="0" max="3" min="3" style="1" width="13"/>
    <col collapsed="false" customWidth="true" hidden="false" outlineLevel="0" max="4" min="4" style="1" width="14"/>
  </cols>
  <sheetData>
    <row r="1" customFormat="false" ht="21.75" hidden="false" customHeight="true" outlineLevel="0" collapsed="false">
      <c r="A1" s="2" t="s">
        <v>208</v>
      </c>
      <c r="B1" s="2"/>
      <c r="C1" s="2"/>
      <c r="D1" s="2"/>
    </row>
    <row r="2" customFormat="false" ht="15" hidden="false" customHeight="true" outlineLevel="0" collapsed="false">
      <c r="A2" s="3" t="s">
        <v>209</v>
      </c>
      <c r="B2" s="3"/>
      <c r="C2" s="3"/>
      <c r="D2" s="3"/>
    </row>
    <row r="4" customFormat="false" ht="30" hidden="false" customHeight="true" outlineLevel="0" collapsed="false">
      <c r="A4" s="4" t="s">
        <v>210</v>
      </c>
      <c r="B4" s="4" t="s">
        <v>211</v>
      </c>
      <c r="C4" s="4" t="s">
        <v>212</v>
      </c>
      <c r="D4" s="4" t="s">
        <v>213</v>
      </c>
    </row>
    <row r="5" customFormat="false" ht="30" hidden="false" customHeight="true" outlineLevel="0" collapsed="false">
      <c r="A5" s="5" t="s">
        <v>214</v>
      </c>
      <c r="B5" s="5" t="s">
        <v>215</v>
      </c>
      <c r="C5" s="5" t="s">
        <v>216</v>
      </c>
      <c r="D5" s="10" t="s">
        <v>217</v>
      </c>
    </row>
    <row r="6" customFormat="false" ht="30" hidden="false" customHeight="true" outlineLevel="0" collapsed="false">
      <c r="A6" s="5" t="s">
        <v>218</v>
      </c>
      <c r="B6" s="5" t="s">
        <v>219</v>
      </c>
      <c r="C6" s="5" t="s">
        <v>216</v>
      </c>
      <c r="D6" s="10" t="s">
        <v>220</v>
      </c>
    </row>
    <row r="7" customFormat="false" ht="30" hidden="false" customHeight="true" outlineLevel="0" collapsed="false">
      <c r="A7" s="5" t="s">
        <v>221</v>
      </c>
      <c r="B7" s="5" t="s">
        <v>222</v>
      </c>
      <c r="C7" s="5" t="s">
        <v>216</v>
      </c>
      <c r="D7" s="10" t="s">
        <v>223</v>
      </c>
    </row>
    <row r="8" customFormat="false" ht="30" hidden="false" customHeight="true" outlineLevel="0" collapsed="false">
      <c r="A8" s="5" t="s">
        <v>90</v>
      </c>
      <c r="B8" s="5" t="s">
        <v>224</v>
      </c>
      <c r="C8" s="5" t="s">
        <v>216</v>
      </c>
      <c r="D8" s="10" t="s">
        <v>225</v>
      </c>
    </row>
    <row r="9" customFormat="false" ht="30" hidden="false" customHeight="true" outlineLevel="0" collapsed="false">
      <c r="A9" s="5" t="s">
        <v>226</v>
      </c>
      <c r="B9" s="5" t="s">
        <v>227</v>
      </c>
      <c r="C9" s="5" t="s">
        <v>216</v>
      </c>
      <c r="D9" s="10" t="s">
        <v>228</v>
      </c>
    </row>
    <row r="10" customFormat="false" ht="30" hidden="false" customHeight="true" outlineLevel="0" collapsed="false">
      <c r="A10" s="5" t="s">
        <v>229</v>
      </c>
      <c r="B10" s="5" t="s">
        <v>230</v>
      </c>
      <c r="C10" s="5" t="s">
        <v>231</v>
      </c>
      <c r="D10" s="10" t="s">
        <v>232</v>
      </c>
    </row>
    <row r="11" customFormat="false" ht="30" hidden="false" customHeight="true" outlineLevel="0" collapsed="false">
      <c r="A11" s="5" t="s">
        <v>233</v>
      </c>
      <c r="B11" s="5" t="s">
        <v>234</v>
      </c>
      <c r="C11" s="5" t="s">
        <v>231</v>
      </c>
      <c r="D11" s="10" t="s">
        <v>235</v>
      </c>
    </row>
    <row r="12" customFormat="false" ht="30" hidden="false" customHeight="true" outlineLevel="0" collapsed="false">
      <c r="A12" s="5" t="s">
        <v>236</v>
      </c>
      <c r="B12" s="5" t="s">
        <v>237</v>
      </c>
      <c r="C12" s="5" t="s">
        <v>238</v>
      </c>
      <c r="D12" s="10" t="s">
        <v>239</v>
      </c>
    </row>
    <row r="13" customFormat="false" ht="30" hidden="false" customHeight="true" outlineLevel="0" collapsed="false"/>
    <row r="14" customFormat="false" ht="30" hidden="false" customHeight="true" outlineLevel="0" collapsed="false"/>
    <row r="15" customFormat="false" ht="30" hidden="false" customHeight="true" outlineLevel="0" collapsed="false"/>
    <row r="16" customFormat="false" ht="30" hidden="false" customHeight="true" outlineLevel="0" collapsed="false"/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D5:D12" type="list">
      <formula1>"🟢 Ок,🔴 Чиним,🟡 Проверяю"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2026-06-18T10:24:13Z</dcterms:created>
  <dc:creator>openpyxl</dc:creator>
  <dc:description/>
  <dc:language>en-US</dc:language>
  <cp:lastModifiedBy/>
  <dcterms:modified xsi:type="dcterms:W3CDTF">2026-06-18T19:47:54Z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